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habib\Desktop\"/>
    </mc:Choice>
  </mc:AlternateContent>
  <bookViews>
    <workbookView xWindow="0" yWindow="0" windowWidth="23040" windowHeight="9264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" l="1"/>
</calcChain>
</file>

<file path=xl/sharedStrings.xml><?xml version="1.0" encoding="utf-8"?>
<sst xmlns="http://schemas.openxmlformats.org/spreadsheetml/2006/main" count="138" uniqueCount="67">
  <si>
    <t>Plan Name</t>
  </si>
  <si>
    <t>Maternity</t>
  </si>
  <si>
    <t>Dental Benefit</t>
  </si>
  <si>
    <t>Optical Benefit</t>
  </si>
  <si>
    <t>Pharmaceitical Benefit</t>
  </si>
  <si>
    <t xml:space="preserve">Emergency Service &amp; Ambulance </t>
  </si>
  <si>
    <t>OP Consultation Deductible/</t>
  </si>
  <si>
    <t>100% Covered</t>
  </si>
  <si>
    <t>Inpatient  medical care inside UAE</t>
  </si>
  <si>
    <t>Inpatient  medical care Outside UAE</t>
  </si>
  <si>
    <t>Annaual Benefit Limit</t>
  </si>
  <si>
    <t>500,000/year</t>
  </si>
  <si>
    <t>Diagnostics(X-ray,MRI,CT-Scan,Ultra Sound)</t>
  </si>
  <si>
    <t xml:space="preserve">Outpatient Medical Care </t>
  </si>
  <si>
    <t xml:space="preserve">Not Covered </t>
  </si>
  <si>
    <t xml:space="preserve">1- </t>
  </si>
  <si>
    <t>2-</t>
  </si>
  <si>
    <t>250,000/year</t>
  </si>
  <si>
    <t>3-</t>
  </si>
  <si>
    <t xml:space="preserve">30% Covered up to 500 Dhs </t>
  </si>
  <si>
    <t>100% Covered up to 5000</t>
  </si>
  <si>
    <t>20% Employees paid 25 Dhs</t>
  </si>
  <si>
    <t>4-</t>
  </si>
  <si>
    <t>Total amount for 21 Employees</t>
  </si>
  <si>
    <t>Total amount for 15 Employees</t>
  </si>
  <si>
    <t>20% Employees paid 50 Dhs</t>
  </si>
  <si>
    <t>5-</t>
  </si>
  <si>
    <t>Basic Plan</t>
  </si>
  <si>
    <t xml:space="preserve">80% Covered with pre Authorized only </t>
  </si>
  <si>
    <t>Not Covered</t>
  </si>
  <si>
    <t xml:space="preserve">Total Amount/ AED </t>
  </si>
  <si>
    <t>70% Covered up to 1,050</t>
  </si>
  <si>
    <t>N/C</t>
  </si>
  <si>
    <t>OP Consultation Deductible</t>
  </si>
  <si>
    <t>Covered /deductable 500 Dhs</t>
  </si>
  <si>
    <t>Diagnostics (X-Ray, MRI,CT-Scan,Ultra-Sound)</t>
  </si>
  <si>
    <t xml:space="preserve">80% Covered with pre-Authorized only </t>
  </si>
  <si>
    <t>100% Covered till 10,000</t>
  </si>
  <si>
    <t>50%  Covered</t>
  </si>
  <si>
    <t>RN</t>
  </si>
  <si>
    <t xml:space="preserve">100% Covered Consultant's, Tests &amp; Procedures </t>
  </si>
  <si>
    <t xml:space="preserve"> Covered 10% patient have to paid</t>
  </si>
  <si>
    <r>
      <t>Management Insurance (AbuMariam and his Wife, Mariam,Ali, AbuBakr ,Eng. Wael &amp; Wife) /</t>
    </r>
    <r>
      <rPr>
        <b/>
        <sz val="18"/>
        <color rgb="FFFF0000"/>
        <rFont val="Calibri"/>
        <family val="2"/>
        <scheme val="minor"/>
      </rPr>
      <t xml:space="preserve"> A Category </t>
    </r>
    <r>
      <rPr>
        <b/>
        <sz val="20"/>
        <color rgb="FFFF0000"/>
        <rFont val="Calibri"/>
        <family val="2"/>
        <scheme val="minor"/>
      </rPr>
      <t>RN for Abudhabi and Dubai</t>
    </r>
  </si>
  <si>
    <t xml:space="preserve">Proposal for Loops Automation Employees Medical Insurance (NAS) Takaful Emarat </t>
  </si>
  <si>
    <t xml:space="preserve">Covered and 20% patient have to pay </t>
  </si>
  <si>
    <t xml:space="preserve">Members who is aged above 65 are subject to MAF &amp; Decleration </t>
  </si>
  <si>
    <t>SRN</t>
  </si>
  <si>
    <t>covered with patient paid 50 Dhs</t>
  </si>
  <si>
    <r>
      <t xml:space="preserve">Abu dhabi Enhanced </t>
    </r>
    <r>
      <rPr>
        <b/>
        <sz val="18"/>
        <color rgb="FFFF0000"/>
        <rFont val="Calibri"/>
        <family val="2"/>
        <scheme val="minor"/>
      </rPr>
      <t>B Category SRN / All Members are Subject to MAF</t>
    </r>
  </si>
  <si>
    <t xml:space="preserve"> Covered 30 DHS patient have to paid</t>
  </si>
  <si>
    <t>Total amount for 7 Employees</t>
  </si>
  <si>
    <r>
      <rPr>
        <b/>
        <sz val="18"/>
        <rFont val="Calibri"/>
        <family val="2"/>
        <scheme val="minor"/>
      </rPr>
      <t>Standard Group AbuDhabi Basic</t>
    </r>
    <r>
      <rPr>
        <b/>
        <sz val="18"/>
        <color rgb="FFFF0000"/>
        <rFont val="Calibri"/>
        <family val="2"/>
        <scheme val="minor"/>
      </rPr>
      <t xml:space="preserve"> 15 employees / All Members are Subject to MAF</t>
    </r>
  </si>
  <si>
    <t>Covered up to 10,000 Dhs with Deductible of 10%</t>
  </si>
  <si>
    <t>Covered , patient have to pay 50 Dhs</t>
  </si>
  <si>
    <t>150,000/year</t>
  </si>
  <si>
    <r>
      <t xml:space="preserve">Dubai </t>
    </r>
    <r>
      <rPr>
        <b/>
        <sz val="18"/>
        <color rgb="FFFF0000"/>
        <rFont val="Calibri"/>
        <family val="2"/>
        <scheme val="minor"/>
      </rPr>
      <t>Enhanced Category B SRN</t>
    </r>
  </si>
  <si>
    <r>
      <t xml:space="preserve">Dubai </t>
    </r>
    <r>
      <rPr>
        <b/>
        <sz val="18"/>
        <color rgb="FFFF0000"/>
        <rFont val="Calibri"/>
        <family val="2"/>
        <scheme val="minor"/>
      </rPr>
      <t>Basic Category C</t>
    </r>
  </si>
  <si>
    <t xml:space="preserve">Covered </t>
  </si>
  <si>
    <t xml:space="preserve">covered ,10 % patient have to pay </t>
  </si>
  <si>
    <t xml:space="preserve">covered ,20 % patient have to pay </t>
  </si>
  <si>
    <t>Covered up to 10,000 Dhs with Deductible of 500DHS.</t>
  </si>
  <si>
    <t>WN</t>
  </si>
  <si>
    <t>Covered up to 10,000 Dhs with Deductible of 500 DHS.</t>
  </si>
  <si>
    <t>Total amount for 14 Employees</t>
  </si>
  <si>
    <t>Covered</t>
  </si>
  <si>
    <t>10% Patients have to paid 25</t>
  </si>
  <si>
    <t>Covered with upto 500 Dhs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</si>
</sst>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ill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4" fontId="4" fillId="0" borderId="0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" fontId="4" fillId="0" borderId="1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Border="1"/>
    <xf numFmtId="0" fontId="0" fillId="0" borderId="0" xfId="0" applyBorder="1"/>
    <xf numFmtId="4" fontId="4" fillId="0" borderId="14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0" borderId="0" xfId="0" applyFont="1" applyAlignment="1">
      <alignment horizontal="left"/>
    </xf>
    <xf numFmtId="0" fontId="2" fillId="0" borderId="0" xfId="0" applyFont="1" applyAlignment="1"/>
    <xf numFmtId="9" fontId="3" fillId="0" borderId="7" xfId="0" applyNumberFormat="1" applyFont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wrapText="1"/>
    </xf>
    <xf numFmtId="0" fontId="2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9" fontId="3" fillId="0" borderId="15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view="pageBreakPreview" zoomScale="60" zoomScaleNormal="100" workbookViewId="0">
      <selection activeCell="A21" sqref="A21:XFD31"/>
    </sheetView>
  </sheetViews>
  <sheetFormatPr defaultRowHeight="14.4" x14ac:dyDescent="0.3"/>
  <cols>
    <col min="1" max="1" width="21.21875" customWidth="1"/>
    <col min="2" max="2" width="21.77734375" customWidth="1"/>
    <col min="3" max="3" width="22" customWidth="1"/>
    <col min="4" max="4" width="19.5546875" customWidth="1"/>
    <col min="5" max="5" width="31.109375" customWidth="1"/>
    <col min="6" max="6" width="28.21875" customWidth="1"/>
    <col min="7" max="7" width="23" customWidth="1"/>
    <col min="8" max="8" width="20.44140625" customWidth="1"/>
    <col min="9" max="9" width="24.21875" customWidth="1"/>
    <col min="10" max="10" width="25" customWidth="1"/>
    <col min="11" max="11" width="12.21875" customWidth="1"/>
    <col min="13" max="13" width="18.44140625" customWidth="1"/>
    <col min="14" max="14" width="18.21875" customWidth="1"/>
  </cols>
  <sheetData>
    <row r="1" spans="1:14" ht="37.200000000000003" customHeight="1" x14ac:dyDescent="0.45">
      <c r="A1" s="48" t="s">
        <v>43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3"/>
    </row>
    <row r="2" spans="1:14" ht="31.8" customHeight="1" thickBot="1" x14ac:dyDescent="0.55000000000000004">
      <c r="A2" s="4" t="s">
        <v>15</v>
      </c>
      <c r="B2" s="5" t="s">
        <v>42</v>
      </c>
      <c r="C2" s="5"/>
      <c r="D2" s="5"/>
      <c r="E2" s="5"/>
      <c r="F2" s="4"/>
      <c r="G2" s="4"/>
      <c r="H2" s="4"/>
      <c r="I2" s="4"/>
      <c r="J2" s="34" t="s">
        <v>45</v>
      </c>
      <c r="K2" s="4"/>
      <c r="L2" s="4"/>
      <c r="M2" s="4"/>
      <c r="N2" s="3"/>
    </row>
    <row r="3" spans="1:14" ht="90.6" customHeight="1" x14ac:dyDescent="0.45">
      <c r="A3" s="44" t="s">
        <v>10</v>
      </c>
      <c r="B3" s="45" t="s">
        <v>0</v>
      </c>
      <c r="C3" s="39" t="s">
        <v>8</v>
      </c>
      <c r="D3" s="40" t="s">
        <v>9</v>
      </c>
      <c r="E3" s="46" t="s">
        <v>35</v>
      </c>
      <c r="F3" s="39" t="s">
        <v>13</v>
      </c>
      <c r="G3" s="47" t="s">
        <v>5</v>
      </c>
      <c r="H3" s="47" t="s">
        <v>6</v>
      </c>
      <c r="I3" s="45" t="s">
        <v>1</v>
      </c>
      <c r="J3" s="45" t="s">
        <v>2</v>
      </c>
      <c r="K3" s="39" t="s">
        <v>3</v>
      </c>
      <c r="L3" s="58" t="s">
        <v>4</v>
      </c>
      <c r="M3" s="59"/>
      <c r="N3" s="43" t="s">
        <v>50</v>
      </c>
    </row>
    <row r="4" spans="1:14" ht="96" customHeight="1" thickBot="1" x14ac:dyDescent="0.35">
      <c r="A4" s="21" t="s">
        <v>11</v>
      </c>
      <c r="B4" s="24" t="s">
        <v>39</v>
      </c>
      <c r="C4" s="32" t="s">
        <v>40</v>
      </c>
      <c r="D4" s="11" t="s">
        <v>64</v>
      </c>
      <c r="E4" s="24" t="s">
        <v>41</v>
      </c>
      <c r="F4" s="24" t="s">
        <v>44</v>
      </c>
      <c r="G4" s="11" t="s">
        <v>7</v>
      </c>
      <c r="H4" s="24" t="s">
        <v>65</v>
      </c>
      <c r="I4" s="24" t="s">
        <v>52</v>
      </c>
      <c r="J4" s="30" t="s">
        <v>66</v>
      </c>
      <c r="K4" s="24" t="s">
        <v>32</v>
      </c>
      <c r="L4" s="60" t="s">
        <v>58</v>
      </c>
      <c r="M4" s="50"/>
      <c r="N4" s="28">
        <v>104492</v>
      </c>
    </row>
    <row r="5" spans="1:14" ht="24" thickBot="1" x14ac:dyDescent="0.5">
      <c r="A5" s="4" t="s">
        <v>16</v>
      </c>
      <c r="B5" s="5" t="s">
        <v>48</v>
      </c>
      <c r="C5" s="3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93.6" x14ac:dyDescent="0.45">
      <c r="A6" s="37" t="s">
        <v>10</v>
      </c>
      <c r="B6" s="38" t="s">
        <v>0</v>
      </c>
      <c r="C6" s="39" t="s">
        <v>8</v>
      </c>
      <c r="D6" s="40" t="s">
        <v>9</v>
      </c>
      <c r="E6" s="41" t="s">
        <v>12</v>
      </c>
      <c r="F6" s="40" t="s">
        <v>13</v>
      </c>
      <c r="G6" s="42" t="s">
        <v>5</v>
      </c>
      <c r="H6" s="42" t="s">
        <v>6</v>
      </c>
      <c r="I6" s="38" t="s">
        <v>1</v>
      </c>
      <c r="J6" s="38" t="s">
        <v>2</v>
      </c>
      <c r="K6" s="40" t="s">
        <v>3</v>
      </c>
      <c r="L6" s="54" t="s">
        <v>4</v>
      </c>
      <c r="M6" s="55"/>
      <c r="N6" s="43" t="s">
        <v>50</v>
      </c>
    </row>
    <row r="7" spans="1:14" s="1" customFormat="1" ht="92.4" customHeight="1" thickBot="1" x14ac:dyDescent="0.35">
      <c r="A7" s="10" t="s">
        <v>17</v>
      </c>
      <c r="B7" s="24" t="s">
        <v>46</v>
      </c>
      <c r="C7" s="32" t="s">
        <v>7</v>
      </c>
      <c r="D7" s="11" t="s">
        <v>57</v>
      </c>
      <c r="E7" s="30" t="s">
        <v>49</v>
      </c>
      <c r="F7" s="30" t="s">
        <v>47</v>
      </c>
      <c r="G7" s="11" t="s">
        <v>7</v>
      </c>
      <c r="H7" s="24" t="s">
        <v>25</v>
      </c>
      <c r="I7" s="30" t="s">
        <v>60</v>
      </c>
      <c r="J7" s="36" t="s">
        <v>59</v>
      </c>
      <c r="K7" s="31" t="s">
        <v>32</v>
      </c>
      <c r="L7" s="51" t="s">
        <v>58</v>
      </c>
      <c r="M7" s="50"/>
      <c r="N7" s="28">
        <v>27449.3</v>
      </c>
    </row>
    <row r="8" spans="1:14" s="1" customFormat="1" ht="24" customHeight="1" x14ac:dyDescent="0.45">
      <c r="A8" s="4" t="s">
        <v>18</v>
      </c>
      <c r="B8" s="35" t="s">
        <v>51</v>
      </c>
      <c r="C8" s="14"/>
      <c r="D8" s="14"/>
      <c r="E8" s="15"/>
      <c r="F8" s="14"/>
      <c r="G8" s="14"/>
      <c r="H8" s="16"/>
      <c r="I8" s="14"/>
      <c r="J8" s="14"/>
      <c r="K8" s="14"/>
      <c r="L8" s="17"/>
      <c r="M8" s="17"/>
      <c r="N8" s="18"/>
    </row>
    <row r="9" spans="1:14" s="1" customFormat="1" ht="24" customHeight="1" thickBot="1" x14ac:dyDescent="0.5">
      <c r="A9" s="4"/>
      <c r="B9" s="5"/>
      <c r="C9" s="14"/>
      <c r="D9" s="14"/>
      <c r="E9" s="15"/>
      <c r="F9" s="14"/>
      <c r="G9" s="14"/>
      <c r="H9" s="16"/>
      <c r="I9" s="14"/>
      <c r="J9" s="14"/>
      <c r="K9" s="14"/>
      <c r="L9" s="17"/>
      <c r="M9" s="17"/>
      <c r="N9" s="18"/>
    </row>
    <row r="10" spans="1:14" s="1" customFormat="1" ht="91.2" customHeight="1" thickBot="1" x14ac:dyDescent="0.5">
      <c r="A10" s="37" t="s">
        <v>10</v>
      </c>
      <c r="B10" s="38" t="s">
        <v>0</v>
      </c>
      <c r="C10" s="40" t="s">
        <v>8</v>
      </c>
      <c r="D10" s="40" t="s">
        <v>9</v>
      </c>
      <c r="E10" s="41" t="s">
        <v>12</v>
      </c>
      <c r="F10" s="40" t="s">
        <v>13</v>
      </c>
      <c r="G10" s="42" t="s">
        <v>5</v>
      </c>
      <c r="H10" s="42" t="s">
        <v>6</v>
      </c>
      <c r="I10" s="38" t="s">
        <v>1</v>
      </c>
      <c r="J10" s="38" t="s">
        <v>2</v>
      </c>
      <c r="K10" s="40" t="s">
        <v>3</v>
      </c>
      <c r="L10" s="54" t="s">
        <v>4</v>
      </c>
      <c r="M10" s="55"/>
      <c r="N10" s="43" t="s">
        <v>63</v>
      </c>
    </row>
    <row r="11" spans="1:14" ht="90.6" customHeight="1" thickBot="1" x14ac:dyDescent="0.35">
      <c r="A11" s="10" t="s">
        <v>17</v>
      </c>
      <c r="B11" s="30" t="s">
        <v>61</v>
      </c>
      <c r="C11" s="24" t="s">
        <v>7</v>
      </c>
      <c r="D11" s="11" t="s">
        <v>57</v>
      </c>
      <c r="E11" s="30" t="s">
        <v>49</v>
      </c>
      <c r="F11" s="24" t="s">
        <v>53</v>
      </c>
      <c r="G11" s="11" t="s">
        <v>7</v>
      </c>
      <c r="H11" s="31" t="s">
        <v>25</v>
      </c>
      <c r="I11" s="31" t="s">
        <v>62</v>
      </c>
      <c r="J11" s="36" t="s">
        <v>59</v>
      </c>
      <c r="K11" s="24" t="s">
        <v>32</v>
      </c>
      <c r="L11" s="51" t="s">
        <v>58</v>
      </c>
      <c r="M11" s="50"/>
      <c r="N11" s="12">
        <v>20329.439999999999</v>
      </c>
    </row>
    <row r="12" spans="1:14" ht="24" thickBot="1" x14ac:dyDescent="0.5">
      <c r="A12" s="4" t="s">
        <v>22</v>
      </c>
      <c r="B12" s="5" t="s">
        <v>55</v>
      </c>
      <c r="C12" s="19"/>
      <c r="D12" s="14"/>
      <c r="E12" s="15"/>
      <c r="F12" s="14"/>
      <c r="G12" s="14"/>
      <c r="H12" s="16"/>
      <c r="I12" s="14"/>
      <c r="J12" s="14"/>
      <c r="K12" s="14"/>
      <c r="L12" s="57"/>
      <c r="M12" s="57"/>
      <c r="N12" s="20"/>
    </row>
    <row r="13" spans="1:14" ht="94.2" thickBot="1" x14ac:dyDescent="0.5">
      <c r="A13" s="6" t="s">
        <v>10</v>
      </c>
      <c r="B13" s="25" t="s">
        <v>0</v>
      </c>
      <c r="C13" s="23" t="s">
        <v>8</v>
      </c>
      <c r="D13" s="23" t="s">
        <v>9</v>
      </c>
      <c r="E13" s="7" t="s">
        <v>12</v>
      </c>
      <c r="F13" s="23" t="s">
        <v>13</v>
      </c>
      <c r="G13" s="8" t="s">
        <v>5</v>
      </c>
      <c r="H13" s="8" t="s">
        <v>6</v>
      </c>
      <c r="I13" s="25" t="s">
        <v>1</v>
      </c>
      <c r="J13" s="25" t="s">
        <v>2</v>
      </c>
      <c r="K13" s="23" t="s">
        <v>3</v>
      </c>
      <c r="L13" s="52" t="s">
        <v>4</v>
      </c>
      <c r="M13" s="53"/>
      <c r="N13" s="9" t="s">
        <v>23</v>
      </c>
    </row>
    <row r="14" spans="1:14" ht="94.2" customHeight="1" thickBot="1" x14ac:dyDescent="0.5">
      <c r="A14" s="10" t="s">
        <v>17</v>
      </c>
      <c r="B14" s="30" t="s">
        <v>46</v>
      </c>
      <c r="C14" s="24" t="s">
        <v>7</v>
      </c>
      <c r="D14" s="11" t="s">
        <v>29</v>
      </c>
      <c r="E14" s="13" t="s">
        <v>28</v>
      </c>
      <c r="F14" s="11" t="s">
        <v>38</v>
      </c>
      <c r="G14" s="11" t="s">
        <v>7</v>
      </c>
      <c r="H14" s="24" t="s">
        <v>21</v>
      </c>
      <c r="I14" s="24" t="s">
        <v>37</v>
      </c>
      <c r="J14" s="11" t="s">
        <v>19</v>
      </c>
      <c r="K14" s="24" t="s">
        <v>32</v>
      </c>
      <c r="L14" s="49" t="s">
        <v>20</v>
      </c>
      <c r="M14" s="49"/>
      <c r="N14" s="22">
        <v>25160</v>
      </c>
    </row>
    <row r="15" spans="1:14" ht="24" thickBot="1" x14ac:dyDescent="0.5">
      <c r="A15" s="4" t="s">
        <v>26</v>
      </c>
      <c r="B15" s="5" t="s">
        <v>56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94.2" thickBot="1" x14ac:dyDescent="0.35">
      <c r="A16" s="6" t="s">
        <v>10</v>
      </c>
      <c r="B16" s="25" t="s">
        <v>0</v>
      </c>
      <c r="C16" s="23" t="s">
        <v>8</v>
      </c>
      <c r="D16" s="23" t="s">
        <v>9</v>
      </c>
      <c r="E16" s="7" t="s">
        <v>12</v>
      </c>
      <c r="F16" s="23" t="s">
        <v>13</v>
      </c>
      <c r="G16" s="23" t="s">
        <v>5</v>
      </c>
      <c r="H16" s="23" t="s">
        <v>33</v>
      </c>
      <c r="I16" s="25" t="s">
        <v>1</v>
      </c>
      <c r="J16" s="25" t="s">
        <v>2</v>
      </c>
      <c r="K16" s="23" t="s">
        <v>3</v>
      </c>
      <c r="L16" s="52" t="s">
        <v>4</v>
      </c>
      <c r="M16" s="53"/>
      <c r="N16" s="9" t="s">
        <v>24</v>
      </c>
    </row>
    <row r="17" spans="1:14" ht="70.8" thickBot="1" x14ac:dyDescent="0.5">
      <c r="A17" s="10" t="s">
        <v>54</v>
      </c>
      <c r="B17" s="11" t="s">
        <v>27</v>
      </c>
      <c r="C17" s="24" t="s">
        <v>7</v>
      </c>
      <c r="D17" s="11" t="s">
        <v>29</v>
      </c>
      <c r="E17" s="13" t="s">
        <v>36</v>
      </c>
      <c r="F17" s="11" t="s">
        <v>38</v>
      </c>
      <c r="G17" s="11" t="s">
        <v>7</v>
      </c>
      <c r="H17" s="24" t="s">
        <v>21</v>
      </c>
      <c r="I17" s="24" t="s">
        <v>34</v>
      </c>
      <c r="J17" s="11" t="s">
        <v>14</v>
      </c>
      <c r="K17" s="24" t="s">
        <v>32</v>
      </c>
      <c r="L17" s="49" t="s">
        <v>31</v>
      </c>
      <c r="M17" s="50"/>
      <c r="N17" s="12">
        <v>23050</v>
      </c>
    </row>
    <row r="18" spans="1:14" ht="23.4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23.4" x14ac:dyDescent="0.45">
      <c r="A19" s="3"/>
      <c r="B19" s="26"/>
      <c r="C19" s="26"/>
      <c r="D19" s="26"/>
      <c r="E19" s="26"/>
      <c r="F19" s="3"/>
      <c r="G19" s="3"/>
      <c r="H19" s="3"/>
      <c r="I19" s="3"/>
      <c r="J19" s="3"/>
      <c r="K19" s="56" t="s">
        <v>30</v>
      </c>
      <c r="L19" s="56"/>
      <c r="M19" s="56"/>
      <c r="N19" s="29">
        <f>SUM(N4,N7,N11)</f>
        <v>152270.74</v>
      </c>
    </row>
    <row r="20" spans="1:14" x14ac:dyDescent="0.3">
      <c r="B20" s="27"/>
      <c r="C20" s="27"/>
      <c r="D20" s="27"/>
      <c r="E20" s="27"/>
      <c r="M20" s="2"/>
    </row>
  </sheetData>
  <mergeCells count="13">
    <mergeCell ref="L11:M11"/>
    <mergeCell ref="K19:M19"/>
    <mergeCell ref="L12:M12"/>
    <mergeCell ref="L3:M3"/>
    <mergeCell ref="L4:M4"/>
    <mergeCell ref="A1:M1"/>
    <mergeCell ref="L17:M17"/>
    <mergeCell ref="L7:M7"/>
    <mergeCell ref="L13:M13"/>
    <mergeCell ref="L14:M14"/>
    <mergeCell ref="L16:M16"/>
    <mergeCell ref="L6:M6"/>
    <mergeCell ref="L10:M10"/>
  </mergeCells>
  <pageMargins left="0.16741666666666666" right="0.20824999999999999" top="0.35933333333333334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Habib</dc:creator>
  <cp:lastModifiedBy>Fatima Habib</cp:lastModifiedBy>
  <cp:lastPrinted>2026-02-09T13:56:36Z</cp:lastPrinted>
  <dcterms:created xsi:type="dcterms:W3CDTF">2025-12-14T09:34:13Z</dcterms:created>
  <dcterms:modified xsi:type="dcterms:W3CDTF">2026-02-11T09:06:54Z</dcterms:modified>
</cp:coreProperties>
</file>